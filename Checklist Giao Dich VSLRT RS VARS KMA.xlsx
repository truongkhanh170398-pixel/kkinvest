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_dan" sheetId="1" state="visible" r:id="rId3"/>
    <sheet name="Checklist_Vao_Lenh" sheetId="2" state="visible" r:id="rId4"/>
    <sheet name="Checklist_Thoat_Len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<sst xmlns="http://schemas.openxmlformats.org/spreadsheetml/2006/main" count="87" uniqueCount="76">
  <si>
    <t xml:space="preserve">CHECKLIST GIAO DỊCH — VSLRT + PRISTINE RS LINE + VARS (jfsrev) + TL's KMAs</t>
  </si>
  <si>
    <t xml:space="preserve">Cách dùng file</t>
  </si>
  <si>
    <t xml:space="preserve">1. Sheet 'Checklist_Vao_Lenh': mỗi dòng = 1 mã CP được quét mua trong ngày. Điền các ô màu vàng (Có/Không chọn từ danh sách thả xuống) dựa trên quan sát chart TradingView.</t>
  </si>
  <si>
    <t xml:space="preserve">2. Cột 'Điểm hội tụ' và 'Tín hiệu' tự tính bằng công thức — không sửa tay.</t>
  </si>
  <si>
    <t xml:space="preserve">3. Sheet 'Checklist_Thoat_Lenh': mỗi dòng = 1 vị thế đang nắm giữ. Điền giá &amp; giá trị MA lấy từ chart, các cột tín hiệu thoát sẽ tự động cập nhật.</t>
  </si>
  <si>
    <t xml:space="preserve">4. Ô chữ XANH DƯƠNG = ô cần điền tay. Ô chữ ĐEN = công thức, không sửa.</t>
  </si>
  <si>
    <t xml:space="preserve">5. Benchmark cho Pristine RS Line và VARS cần đổi trong Settings của indicator trên TradingView từ SPY sang VNINDEX (mã HOSE:VNINDEX hoặc index VNINDEX tương ứng).</t>
  </si>
  <si>
    <t xml:space="preserve">Giải thích các công cụ &amp; ngưỡng dùng trong checklist</t>
  </si>
  <si>
    <t xml:space="preserve">#</t>
  </si>
  <si>
    <t xml:space="preserve">Công cụ / Cột</t>
  </si>
  <si>
    <t xml:space="preserve">Ý nghĩa &amp; ngưỡng sử dụng</t>
  </si>
  <si>
    <t xml:space="preserve">VSLRT — Long-Term</t>
  </si>
  <si>
    <t xml:space="preserve">Xu hướng nền (mặc định period 50). Dương &amp; xanh = trend nền tăng, đủ điều kiện tìm mua. Đỏ = tránh mua / cảnh báo thoát.</t>
  </si>
  <si>
    <t xml:space="preserve">VSLRT — Short-Term</t>
  </si>
  <si>
    <t xml:space="preserve">Xu hướng ngắn hạn có volume hỗ trợ (mặc định period 20). Chuyển xanh đậm = lực mua mới xác nhận bằng volume.</t>
  </si>
  <si>
    <t xml:space="preserve">RS Line cắt lên MA (vs VNINDEX)</t>
  </si>
  <si>
    <t xml:space="preserve">Pristine RS Line (đã đổi benchmark sang VNINDEX) cắt lên trên đường MA của chính nó = cổ phiếu bắt đầu dẫn dắt so với thị trường.</t>
  </si>
  <si>
    <t xml:space="preserve">RS New High</t>
  </si>
  <si>
    <t xml:space="preserve">Tín hiệu RS Line tạo đỉnh cao mới, chỉ hiện ở nến gần nhất. Kết hợp breakout giá = tăng độ tin cậy.</t>
  </si>
  <si>
    <t xml:space="preserve">VARS &gt; 0</t>
  </si>
  <si>
    <t xml:space="preserve">Volatility Adjusted RS (jfsrev, benchmark VNINDEX) dương = outperform sau khi đã hiệu chỉnh biến động riêng của mã.</t>
  </si>
  <si>
    <t xml:space="preserve">VARS cắt lên MA</t>
  </si>
  <si>
    <t xml:space="preserve">Đường VARS chạm/bật lên khỏi MA của nó = sức mạnh tương đối đang quay lại (trigger vào lệnh).</t>
  </si>
  <si>
    <t xml:space="preserve">Điểm hội tụ (Entry)</t>
  </si>
  <si>
    <t xml:space="preserve">Đếm số điều kiện 'Có' trong 6 điều kiện trên. &gt;=4/6 = tín hiệu MUA; &lt;4 = chỉ Theo dõi.</t>
  </si>
  <si>
    <t xml:space="preserve">8DEMA / 10DSMA</t>
  </si>
  <si>
    <t xml:space="preserve">TL's KMAs — dùng làm trailing stop cho trader ngắn hạn/aggressive, hoặc mốc đo % extension để chốt lời từng phần.</t>
  </si>
  <si>
    <t xml:space="preserve">21DSMA</t>
  </si>
  <si>
    <t xml:space="preserve">Tuyến phòng thủ chính cho swing trader (tương đương 10 EMA trong Delayed EP). Đóng cửa dưới 21DSMA = cảnh báo thoát.</t>
  </si>
  <si>
    <t xml:space="preserve">50DSMA</t>
  </si>
  <si>
    <t xml:space="preserve">Lằn ranh cuối cho vị thế trung/dài hạn. Mất 50DSMA = xu hướng trung hạn bị đe dọa nghiêm trọng.</t>
  </si>
  <si>
    <t xml:space="preserve">10WSMA</t>
  </si>
  <si>
    <t xml:space="preserve">Đường tuần — đóng cửa TUẦN dưới 10WSMA = cảnh báo đổi Stage (giống logic 30-week MA của Weinstein).</t>
  </si>
  <si>
    <t xml:space="preserve">% Extension so 8DEMA</t>
  </si>
  <si>
    <t xml:space="preserve">(Giá hiện tại − 8DEMA) / 8DEMA. &gt;=15% = cân nhắc chốt lời một phần (theo hướng dẫn TraderLion, khoảng 10–25%).</t>
  </si>
  <si>
    <t xml:space="preserve">Tín hiệu THOÁT TOÀN BỘ</t>
  </si>
  <si>
    <t xml:space="preserve">Kích hoạt khi ĐỒNG THỜI: giá đóng cửa &lt; 21DSMA, RS Line cắt xuống MA, VÀ VARS cắt xuống 0/MA. Ba tín hiệu hội tụ cùng lúc mới thoát hết, tránh bị nhiễu ngắn hạn.</t>
  </si>
  <si>
    <t xml:space="preserve">Chú giải màu</t>
  </si>
  <si>
    <t xml:space="preserve">  Ví dụ  </t>
  </si>
  <si>
    <t xml:space="preserve">Ô cần điền tay (chữ xanh dương, nền vàng nhạt)</t>
  </si>
  <si>
    <t xml:space="preserve">Ô công thức tự tính (chữ đen) — không sửa</t>
  </si>
  <si>
    <t xml:space="preserve">Mã CP</t>
  </si>
  <si>
    <t xml:space="preserve">Ngày quét</t>
  </si>
  <si>
    <t xml:space="preserve">Giá hiện tại</t>
  </si>
  <si>
    <t xml:space="preserve">VSLRT LT
dương &amp; xanh?
(Có/Không)</t>
  </si>
  <si>
    <t xml:space="preserve">VSLRT ST
chuyển xanh đậm?
(Có/Không)</t>
  </si>
  <si>
    <t xml:space="preserve">RS Line cắt lên MA
(vs VNINDEX)?
(Có/Không)</t>
  </si>
  <si>
    <t xml:space="preserve">RS New High?
(Có/Không)</t>
  </si>
  <si>
    <t xml:space="preserve">VARS &gt; 0?
(Có/Không)</t>
  </si>
  <si>
    <t xml:space="preserve">VARS cắt lên MA?
(Có/Không)</t>
  </si>
  <si>
    <t xml:space="preserve">Điểm hội tụ
(/6)</t>
  </si>
  <si>
    <t xml:space="preserve">Tín hiệu</t>
  </si>
  <si>
    <t xml:space="preserve">Ghi chú</t>
  </si>
  <si>
    <t xml:space="preserve">HPG</t>
  </si>
  <si>
    <t xml:space="preserve">2026-07-10</t>
  </si>
  <si>
    <t xml:space="preserve">Có</t>
  </si>
  <si>
    <t xml:space="preserve">Không</t>
  </si>
  <si>
    <t xml:space="preserve">Ví dụ minh hoạ — xoá dòng này khi dùng thật</t>
  </si>
  <si>
    <t xml:space="preserve">Ngày vào lệnh</t>
  </si>
  <si>
    <t xml:space="preserve">Giá vào lệnh</t>
  </si>
  <si>
    <t xml:space="preserve">Giá hiện tại (daily close)</t>
  </si>
  <si>
    <t xml:space="preserve">8DEMA</t>
  </si>
  <si>
    <t xml:space="preserve">10DSMA</t>
  </si>
  <si>
    <t xml:space="preserve">10WSMA (weekly close)</t>
  </si>
  <si>
    <t xml:space="preserve">% Extension
so 8DEMA</t>
  </si>
  <si>
    <t xml:space="preserve">Chốt lời
1 phần?
(&gt;=15%)</t>
  </si>
  <si>
    <t xml:space="preserve">Đóng cửa
&lt; 21DSMA?</t>
  </si>
  <si>
    <t xml:space="preserve">Đóng cửa tuần
&lt; 10WSMA?</t>
  </si>
  <si>
    <t xml:space="preserve">RS Line
value</t>
  </si>
  <si>
    <t xml:space="preserve">RS Line
MA value</t>
  </si>
  <si>
    <t xml:space="preserve">RS Line cắt
xuống MA?</t>
  </si>
  <si>
    <t xml:space="preserve">VARS
value</t>
  </si>
  <si>
    <t xml:space="preserve">VARS
MA value</t>
  </si>
  <si>
    <t xml:space="preserve">VARS cắt xuống
0 hoặc MA?</t>
  </si>
  <si>
    <t xml:space="preserve">Tín hiệu thoát</t>
  </si>
  <si>
    <t xml:space="preserve">2026-06-15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</si>
</sst>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20"/>
  </cols>
  <sheetData>
    <row r="2" customFormat="false" ht="17.35" hidden="false" customHeight="false" outlineLevel="0" collapsed="false">
      <c r="B2" s="1" t="s">
        <v>0</v>
      </c>
      <c r="C2" s="1"/>
      <c r="D2" s="1"/>
    </row>
    <row r="4" customFormat="false" ht="15" hidden="false" customHeight="false" outlineLevel="0" collapsed="false">
      <c r="B4" s="2" t="s">
        <v>1</v>
      </c>
      <c r="C4" s="2"/>
      <c r="D4" s="2"/>
    </row>
    <row r="5" customFormat="false" ht="27.75" hidden="false" customHeight="true" outlineLevel="0" collapsed="false">
      <c r="B5" s="3" t="s">
        <v>2</v>
      </c>
      <c r="C5" s="3"/>
      <c r="D5" s="3"/>
    </row>
    <row r="6" customFormat="false" ht="27.75" hidden="false" customHeight="true" outlineLevel="0" collapsed="false">
      <c r="B6" s="3" t="s">
        <v>3</v>
      </c>
      <c r="C6" s="3"/>
      <c r="D6" s="3"/>
    </row>
    <row r="7" customFormat="false" ht="27.75" hidden="false" customHeight="true" outlineLevel="0" collapsed="false">
      <c r="B7" s="3" t="s">
        <v>4</v>
      </c>
      <c r="C7" s="3"/>
      <c r="D7" s="3"/>
    </row>
    <row r="8" customFormat="false" ht="27.75" hidden="false" customHeight="true" outlineLevel="0" collapsed="false">
      <c r="B8" s="3" t="s">
        <v>5</v>
      </c>
      <c r="C8" s="3"/>
      <c r="D8" s="3"/>
    </row>
    <row r="9" customFormat="false" ht="27.75" hidden="false" customHeight="true" outlineLevel="0" collapsed="false">
      <c r="B9" s="3" t="s">
        <v>6</v>
      </c>
      <c r="C9" s="3"/>
      <c r="D9" s="3"/>
    </row>
    <row r="11" customFormat="false" ht="15" hidden="false" customHeight="false" outlineLevel="0" collapsed="false">
      <c r="B11" s="2" t="s">
        <v>7</v>
      </c>
      <c r="C11" s="2"/>
      <c r="D11" s="2"/>
    </row>
    <row r="13" customFormat="false" ht="21.75" hidden="false" customHeight="true" outlineLevel="0" collapsed="false">
      <c r="B13" s="4" t="s">
        <v>8</v>
      </c>
      <c r="C13" s="4" t="s">
        <v>9</v>
      </c>
      <c r="D13" s="4" t="s">
        <v>10</v>
      </c>
    </row>
    <row r="14" customFormat="false" ht="39.75" hidden="false" customHeight="true" outlineLevel="0" collapsed="false">
      <c r="B14" s="5" t="n">
        <v>1</v>
      </c>
      <c r="C14" s="6" t="s">
        <v>11</v>
      </c>
      <c r="D14" s="7" t="s">
        <v>12</v>
      </c>
    </row>
    <row r="15" customFormat="false" ht="39.75" hidden="false" customHeight="true" outlineLevel="0" collapsed="false">
      <c r="B15" s="5" t="n">
        <v>2</v>
      </c>
      <c r="C15" s="6" t="s">
        <v>13</v>
      </c>
      <c r="D15" s="7" t="s">
        <v>14</v>
      </c>
    </row>
    <row r="16" customFormat="false" ht="39.75" hidden="false" customHeight="true" outlineLevel="0" collapsed="false">
      <c r="B16" s="5" t="n">
        <v>3</v>
      </c>
      <c r="C16" s="6" t="s">
        <v>15</v>
      </c>
      <c r="D16" s="7" t="s">
        <v>16</v>
      </c>
    </row>
    <row r="17" customFormat="false" ht="39.75" hidden="false" customHeight="true" outlineLevel="0" collapsed="false">
      <c r="B17" s="5" t="n">
        <v>4</v>
      </c>
      <c r="C17" s="6" t="s">
        <v>17</v>
      </c>
      <c r="D17" s="7" t="s">
        <v>18</v>
      </c>
    </row>
    <row r="18" customFormat="false" ht="39.75" hidden="false" customHeight="true" outlineLevel="0" collapsed="false">
      <c r="B18" s="5" t="n">
        <v>5</v>
      </c>
      <c r="C18" s="6" t="s">
        <v>19</v>
      </c>
      <c r="D18" s="7" t="s">
        <v>20</v>
      </c>
    </row>
    <row r="19" customFormat="false" ht="39.75" hidden="false" customHeight="true" outlineLevel="0" collapsed="false">
      <c r="B19" s="5" t="n">
        <v>6</v>
      </c>
      <c r="C19" s="6" t="s">
        <v>21</v>
      </c>
      <c r="D19" s="7" t="s">
        <v>22</v>
      </c>
    </row>
    <row r="20" customFormat="false" ht="39.75" hidden="false" customHeight="true" outlineLevel="0" collapsed="false">
      <c r="B20" s="5" t="n">
        <v>7</v>
      </c>
      <c r="C20" s="6" t="s">
        <v>23</v>
      </c>
      <c r="D20" s="7" t="s">
        <v>24</v>
      </c>
    </row>
    <row r="21" customFormat="false" ht="39.75" hidden="false" customHeight="true" outlineLevel="0" collapsed="false">
      <c r="B21" s="5" t="n">
        <v>8</v>
      </c>
      <c r="C21" s="6" t="s">
        <v>25</v>
      </c>
      <c r="D21" s="7" t="s">
        <v>26</v>
      </c>
    </row>
    <row r="22" customFormat="false" ht="39.75" hidden="false" customHeight="true" outlineLevel="0" collapsed="false">
      <c r="B22" s="5" t="n">
        <v>9</v>
      </c>
      <c r="C22" s="6" t="s">
        <v>27</v>
      </c>
      <c r="D22" s="7" t="s">
        <v>28</v>
      </c>
    </row>
    <row r="23" customFormat="false" ht="39.75" hidden="false" customHeight="true" outlineLevel="0" collapsed="false">
      <c r="B23" s="5" t="n">
        <v>10</v>
      </c>
      <c r="C23" s="6" t="s">
        <v>29</v>
      </c>
      <c r="D23" s="7" t="s">
        <v>30</v>
      </c>
    </row>
    <row r="24" customFormat="false" ht="39.75" hidden="false" customHeight="true" outlineLevel="0" collapsed="false">
      <c r="B24" s="5" t="n">
        <v>11</v>
      </c>
      <c r="C24" s="6" t="s">
        <v>31</v>
      </c>
      <c r="D24" s="7" t="s">
        <v>32</v>
      </c>
    </row>
    <row r="25" customFormat="false" ht="39.75" hidden="false" customHeight="true" outlineLevel="0" collapsed="false">
      <c r="B25" s="5" t="n">
        <v>12</v>
      </c>
      <c r="C25" s="6" t="s">
        <v>33</v>
      </c>
      <c r="D25" s="7" t="s">
        <v>34</v>
      </c>
    </row>
    <row r="26" customFormat="false" ht="39.75" hidden="false" customHeight="true" outlineLevel="0" collapsed="false">
      <c r="B26" s="5" t="n">
        <v>13</v>
      </c>
      <c r="C26" s="6" t="s">
        <v>35</v>
      </c>
      <c r="D26" s="7" t="s">
        <v>36</v>
      </c>
    </row>
    <row r="28" customFormat="false" ht="15" hidden="false" customHeight="false" outlineLevel="0" collapsed="false">
      <c r="B28" s="8" t="s">
        <v>37</v>
      </c>
    </row>
    <row r="29" customFormat="false" ht="15" hidden="false" customHeight="false" outlineLevel="0" collapsed="false">
      <c r="B29" s="9" t="s">
        <v>38</v>
      </c>
      <c r="C29" s="10" t="s">
        <v>39</v>
      </c>
      <c r="D29" s="10"/>
    </row>
    <row r="30" customFormat="false" ht="15" hidden="false" customHeight="false" outlineLevel="0" collapsed="false">
      <c r="B30" s="11" t="s">
        <v>38</v>
      </c>
      <c r="C30" s="10" t="s">
        <v>40</v>
      </c>
      <c r="D30" s="10"/>
    </row>
  </sheetData>
  <mergeCells count="10">
    <mergeCell ref="B2:D2"/>
    <mergeCell ref="B4:D4"/>
    <mergeCell ref="B5:D5"/>
    <mergeCell ref="B6:D6"/>
    <mergeCell ref="B7:D7"/>
    <mergeCell ref="B8:D8"/>
    <mergeCell ref="B9:D9"/>
    <mergeCell ref="B11:D11"/>
    <mergeCell ref="C29:D29"/>
    <mergeCell ref="C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48" hidden="false" customHeight="true" outlineLevel="0" collapsed="false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</row>
    <row r="2" customFormat="false" ht="23.85" hidden="false" customHeight="false" outlineLevel="0" collapsed="false">
      <c r="A2" s="9" t="s">
        <v>53</v>
      </c>
      <c r="B2" s="9" t="s">
        <v>54</v>
      </c>
      <c r="C2" s="9" t="n">
        <v>28500</v>
      </c>
      <c r="D2" s="9" t="s">
        <v>55</v>
      </c>
      <c r="E2" s="9" t="s">
        <v>55</v>
      </c>
      <c r="F2" s="9" t="s">
        <v>55</v>
      </c>
      <c r="G2" s="9" t="s">
        <v>56</v>
      </c>
      <c r="H2" s="9" t="s">
        <v>55</v>
      </c>
      <c r="I2" s="9" t="s">
        <v>55</v>
      </c>
      <c r="J2" s="11" t="n">
        <f aca="false">COUNTIF(D2:I2,"Có")</f>
        <v>5</v>
      </c>
      <c r="K2" s="12" t="str">
        <f aca="false">IF(J2&gt;=4,"MUA","Theo dõi")</f>
        <v>MUA</v>
      </c>
      <c r="L2" s="7" t="s">
        <v>57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11" t="n">
        <f aca="false">COUNTIF(D3:I3,"Có")</f>
        <v>0</v>
      </c>
      <c r="K3" s="12" t="str">
        <f aca="false">IF(J3&gt;=4,"MUA","Theo dõi")</f>
        <v>Theo dõi</v>
      </c>
      <c r="L3" s="7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11" t="n">
        <f aca="false">COUNTIF(D4:I4,"Có")</f>
        <v>0</v>
      </c>
      <c r="K4" s="12" t="str">
        <f aca="false">IF(J4&gt;=4,"MUA","Theo dõi")</f>
        <v>Theo dõi</v>
      </c>
      <c r="L4" s="7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11" t="n">
        <f aca="false">COUNTIF(D5:I5,"Có")</f>
        <v>0</v>
      </c>
      <c r="K5" s="12" t="str">
        <f aca="false">IF(J5&gt;=4,"MUA","Theo dõi")</f>
        <v>Theo dõi</v>
      </c>
      <c r="L5" s="7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11" t="n">
        <f aca="false">COUNTIF(D6:I6,"Có")</f>
        <v>0</v>
      </c>
      <c r="K6" s="12" t="str">
        <f aca="false">IF(J6&gt;=4,"MUA","Theo dõi")</f>
        <v>Theo dõi</v>
      </c>
      <c r="L6" s="7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11" t="n">
        <f aca="false">COUNTIF(D7:I7,"Có")</f>
        <v>0</v>
      </c>
      <c r="K7" s="12" t="str">
        <f aca="false">IF(J7&gt;=4,"MUA","Theo dõi")</f>
        <v>Theo dõi</v>
      </c>
      <c r="L7" s="7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11" t="n">
        <f aca="false">COUNTIF(D8:I8,"Có")</f>
        <v>0</v>
      </c>
      <c r="K8" s="12" t="str">
        <f aca="false">IF(J8&gt;=4,"MUA","Theo dõi")</f>
        <v>Theo dõi</v>
      </c>
      <c r="L8" s="7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11" t="n">
        <f aca="false">COUNTIF(D9:I9,"Có")</f>
        <v>0</v>
      </c>
      <c r="K9" s="12" t="str">
        <f aca="false">IF(J9&gt;=4,"MUA","Theo dõi")</f>
        <v>Theo dõi</v>
      </c>
      <c r="L9" s="7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11" t="n">
        <f aca="false">COUNTIF(D10:I10,"Có")</f>
        <v>0</v>
      </c>
      <c r="K10" s="12" t="str">
        <f aca="false">IF(J10&gt;=4,"MUA","Theo dõi")</f>
        <v>Theo dõi</v>
      </c>
      <c r="L10" s="7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11" t="n">
        <f aca="false">COUNTIF(D11:I11,"Có")</f>
        <v>0</v>
      </c>
      <c r="K11" s="12" t="str">
        <f aca="false">IF(J11&gt;=4,"MUA","Theo dõi")</f>
        <v>Theo dõi</v>
      </c>
      <c r="L11" s="7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11" t="n">
        <f aca="false">COUNTIF(D12:I12,"Có")</f>
        <v>0</v>
      </c>
      <c r="K12" s="12" t="str">
        <f aca="false">IF(J12&gt;=4,"MUA","Theo dõi")</f>
        <v>Theo dõi</v>
      </c>
      <c r="L12" s="7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11" t="n">
        <f aca="false">COUNTIF(D13:I13,"Có")</f>
        <v>0</v>
      </c>
      <c r="K13" s="12" t="str">
        <f aca="false">IF(J13&gt;=4,"MUA","Theo dõi")</f>
        <v>Theo dõi</v>
      </c>
      <c r="L13" s="7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11" t="n">
        <f aca="false">COUNTIF(D14:I14,"Có")</f>
        <v>0</v>
      </c>
      <c r="K14" s="12" t="str">
        <f aca="false">IF(J14&gt;=4,"MUA","Theo dõi")</f>
        <v>Theo dõi</v>
      </c>
      <c r="L14" s="7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11" t="n">
        <f aca="false">COUNTIF(D15:I15,"Có")</f>
        <v>0</v>
      </c>
      <c r="K15" s="12" t="str">
        <f aca="false">IF(J15&gt;=4,"MUA","Theo dõi")</f>
        <v>Theo dõi</v>
      </c>
      <c r="L15" s="7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11" t="n">
        <f aca="false">COUNTIF(D16:I16,"Có")</f>
        <v>0</v>
      </c>
      <c r="K16" s="12" t="str">
        <f aca="false">IF(J16&gt;=4,"MUA","Theo dõi")</f>
        <v>Theo dõi</v>
      </c>
      <c r="L16" s="7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11" t="n">
        <f aca="false">COUNTIF(D17:I17,"Có")</f>
        <v>0</v>
      </c>
      <c r="K17" s="12" t="str">
        <f aca="false">IF(J17&gt;=4,"MUA","Theo dõi")</f>
        <v>Theo dõi</v>
      </c>
      <c r="L17" s="7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11" t="n">
        <f aca="false">COUNTIF(D18:I18,"Có")</f>
        <v>0</v>
      </c>
      <c r="K18" s="12" t="str">
        <f aca="false">IF(J18&gt;=4,"MUA","Theo dõi")</f>
        <v>Theo dõi</v>
      </c>
      <c r="L18" s="7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11" t="n">
        <f aca="false">COUNTIF(D19:I19,"Có")</f>
        <v>0</v>
      </c>
      <c r="K19" s="12" t="str">
        <f aca="false">IF(J19&gt;=4,"MUA","Theo dõi")</f>
        <v>Theo dõi</v>
      </c>
      <c r="L19" s="7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11" t="n">
        <f aca="false">COUNTIF(D20:I20,"Có")</f>
        <v>0</v>
      </c>
      <c r="K20" s="12" t="str">
        <f aca="false">IF(J20&gt;=4,"MUA","Theo dõi")</f>
        <v>Theo dõi</v>
      </c>
      <c r="L20" s="7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11" t="n">
        <f aca="false">COUNTIF(D21:I21,"Có")</f>
        <v>0</v>
      </c>
      <c r="K21" s="12" t="str">
        <f aca="false">IF(J21&gt;=4,"MUA","Theo dõi")</f>
        <v>Theo dõi</v>
      </c>
      <c r="L21" s="7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11" t="n">
        <f aca="false">COUNTIF(D22:I22,"Có")</f>
        <v>0</v>
      </c>
      <c r="K22" s="12" t="str">
        <f aca="false">IF(J22&gt;=4,"MUA","Theo dõi")</f>
        <v>Theo dõi</v>
      </c>
      <c r="L22" s="7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11" t="n">
        <f aca="false">COUNTIF(D23:I23,"Có")</f>
        <v>0</v>
      </c>
      <c r="K23" s="12" t="str">
        <f aca="false">IF(J23&gt;=4,"MUA","Theo dõi")</f>
        <v>Theo dõi</v>
      </c>
      <c r="L23" s="7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11" t="n">
        <f aca="false">COUNTIF(D24:I24,"Có")</f>
        <v>0</v>
      </c>
      <c r="K24" s="12" t="str">
        <f aca="false">IF(J24&gt;=4,"MUA","Theo dõi")</f>
        <v>Theo dõi</v>
      </c>
      <c r="L24" s="7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11" t="n">
        <f aca="false">COUNTIF(D25:I25,"Có")</f>
        <v>0</v>
      </c>
      <c r="K25" s="12" t="str">
        <f aca="false">IF(J25&gt;=4,"MUA","Theo dõi")</f>
        <v>Theo dõi</v>
      </c>
      <c r="L25" s="7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11" t="n">
        <f aca="false">COUNTIF(D26:I26,"Có")</f>
        <v>0</v>
      </c>
      <c r="K26" s="12" t="str">
        <f aca="false">IF(J26&gt;=4,"MUA","Theo dõi")</f>
        <v>Theo dõi</v>
      </c>
      <c r="L26" s="7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11" t="n">
        <f aca="false">COUNTIF(D27:I27,"Có")</f>
        <v>0</v>
      </c>
      <c r="K27" s="12" t="str">
        <f aca="false">IF(J27&gt;=4,"MUA","Theo dõi")</f>
        <v>Theo dõi</v>
      </c>
      <c r="L27" s="7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11" t="n">
        <f aca="false">COUNTIF(D28:I28,"Có")</f>
        <v>0</v>
      </c>
      <c r="K28" s="12" t="str">
        <f aca="false">IF(J28&gt;=4,"MUA","Theo dõi")</f>
        <v>Theo dõi</v>
      </c>
      <c r="L28" s="7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11" t="n">
        <f aca="false">COUNTIF(D29:I29,"Có")</f>
        <v>0</v>
      </c>
      <c r="K29" s="12" t="str">
        <f aca="false">IF(J29&gt;=4,"MUA","Theo dõi")</f>
        <v>Theo dõi</v>
      </c>
      <c r="L29" s="7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11" t="n">
        <f aca="false">COUNTIF(D30:I30,"Có")</f>
        <v>0</v>
      </c>
      <c r="K30" s="12" t="str">
        <f aca="false">IF(J30&gt;=4,"MUA","Theo dõi")</f>
        <v>Theo dõi</v>
      </c>
      <c r="L30" s="7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11" t="n">
        <f aca="false">COUNTIF(D31:I31,"Có")</f>
        <v>0</v>
      </c>
      <c r="K31" s="12" t="str">
        <f aca="false">IF(J31&gt;=4,"MUA","Theo dõi")</f>
        <v>Theo dõi</v>
      </c>
      <c r="L31" s="7"/>
    </row>
  </sheetData>
  <conditionalFormatting sqref="K2:K31">
    <cfRule type="expression" priority="2" aboveAverage="0" equalAverage="0" bottom="0" percent="0" rank="0" text="" dxfId="0">
      <formula>K2="MUA"</formula>
    </cfRule>
    <cfRule type="expression" priority="3" aboveAverage="0" equalAverage="0" bottom="0" percent="0" rank="0" text="" dxfId="1">
      <formula>K2="Theo dõi"</formula>
    </cfRule>
  </conditionalFormatting>
  <dataValidations count="1">
    <dataValidation allowBlank="true" errorStyle="stop" operator="between" showDropDown="false" showErrorMessage="false" showInputMessage="false" sqref="D2:I31" type="list">
      <formula1>"Có,Không"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8" min="5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5" min="14" style="0" width="10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1" min="21" style="0" width="28"/>
  </cols>
  <sheetData>
    <row r="1" customFormat="false" ht="54" hidden="false" customHeight="true" outlineLevel="0" collapsed="false">
      <c r="A1" s="4" t="s">
        <v>41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27</v>
      </c>
      <c r="H1" s="4" t="s">
        <v>29</v>
      </c>
      <c r="I1" s="4" t="s">
        <v>63</v>
      </c>
      <c r="J1" s="4" t="s">
        <v>64</v>
      </c>
      <c r="K1" s="4" t="s">
        <v>65</v>
      </c>
      <c r="L1" s="4" t="s">
        <v>66</v>
      </c>
      <c r="M1" s="4" t="s">
        <v>67</v>
      </c>
      <c r="N1" s="4" t="s">
        <v>68</v>
      </c>
      <c r="O1" s="4" t="s">
        <v>69</v>
      </c>
      <c r="P1" s="4" t="s">
        <v>70</v>
      </c>
      <c r="Q1" s="4" t="s">
        <v>71</v>
      </c>
      <c r="R1" s="4" t="s">
        <v>72</v>
      </c>
      <c r="S1" s="4" t="s">
        <v>73</v>
      </c>
      <c r="T1" s="4" t="s">
        <v>74</v>
      </c>
      <c r="U1" s="4" t="s">
        <v>52</v>
      </c>
    </row>
    <row r="2" customFormat="false" ht="23.85" hidden="false" customHeight="false" outlineLevel="0" collapsed="false">
      <c r="A2" s="9" t="s">
        <v>53</v>
      </c>
      <c r="B2" s="9" t="s">
        <v>75</v>
      </c>
      <c r="C2" s="9" t="n">
        <v>27200</v>
      </c>
      <c r="D2" s="9" t="n">
        <v>30100</v>
      </c>
      <c r="E2" s="9" t="n">
        <v>29400</v>
      </c>
      <c r="F2" s="9" t="n">
        <v>29000</v>
      </c>
      <c r="G2" s="9" t="n">
        <v>28100</v>
      </c>
      <c r="H2" s="9" t="n">
        <v>26500</v>
      </c>
      <c r="I2" s="9" t="n">
        <v>27800</v>
      </c>
      <c r="J2" s="13" t="n">
        <f aca="false">IFERROR((D2-E2)/E2,"")</f>
        <v>0.0238095238095238</v>
      </c>
      <c r="K2" s="11" t="str">
        <f aca="false">IF(J2="","",IF(J2&gt;=0.15,"Có","Không"))</f>
        <v>Không</v>
      </c>
      <c r="L2" s="11" t="str">
        <f aca="false">IF(D2="","",IF(D2&lt;G2,"Có","Không"))</f>
        <v>Không</v>
      </c>
      <c r="M2" s="11" t="str">
        <f aca="false">IF(D2="","",IF(D2&lt;I2,"Có","Không"))</f>
        <v>Không</v>
      </c>
      <c r="N2" s="9" t="n">
        <v>145.2</v>
      </c>
      <c r="O2" s="9" t="n">
        <v>142</v>
      </c>
      <c r="P2" s="11" t="str">
        <f aca="false">IF(N2="","",IF(N2&lt;O2,"Có","Không"))</f>
        <v>Không</v>
      </c>
      <c r="Q2" s="9" t="n">
        <v>1.8</v>
      </c>
      <c r="R2" s="9" t="n">
        <v>1.2</v>
      </c>
      <c r="S2" s="11" t="str">
        <f aca="false">IF(Q2="","",IF(OR(Q2&lt;0,Q2&lt;R2),"Có","Không"))</f>
        <v>Không</v>
      </c>
      <c r="T2" s="12" t="str">
        <f aca="false">IF(OR(L2="",P2="",S2=""),"",IF(AND(L2="Có",P2="Có",S2="Có"),"THOÁT TOÀN BỘ",IF(K2="Có","CHỐT 1 PHẦN","GIỮ")))</f>
        <v>GIỮ</v>
      </c>
      <c r="U2" s="7" t="s">
        <v>57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13" t="str">
        <f aca="false">IFERROR((D3-E3)/E3,"")</f>
        <v/>
      </c>
      <c r="K3" s="11" t="str">
        <f aca="false">IF(J3="","",IF(J3&gt;=0.15,"Có","Không"))</f>
        <v/>
      </c>
      <c r="L3" s="11" t="str">
        <f aca="false">IF(D3="","",IF(D3&lt;G3,"Có","Không"))</f>
        <v/>
      </c>
      <c r="M3" s="11" t="str">
        <f aca="false">IF(D3="","",IF(D3&lt;I3,"Có","Không"))</f>
        <v/>
      </c>
      <c r="N3" s="9"/>
      <c r="O3" s="9"/>
      <c r="P3" s="11" t="str">
        <f aca="false">IF(N3="","",IF(N3&lt;O3,"Có","Không"))</f>
        <v/>
      </c>
      <c r="Q3" s="9"/>
      <c r="R3" s="9"/>
      <c r="S3" s="11" t="str">
        <f aca="false">IF(Q3="","",IF(OR(Q3&lt;0,Q3&lt;R3),"Có","Không"))</f>
        <v/>
      </c>
      <c r="T3" s="12" t="str">
        <f aca="false">IF(OR(L3="",P3="",S3=""),"",IF(AND(L3="Có",P3="Có",S3="Có"),"THOÁT TOÀN BỘ",IF(K3="Có","CHỐT 1 PHẦN","GIỮ")))</f>
        <v/>
      </c>
      <c r="U3" s="7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13" t="str">
        <f aca="false">IFERROR((D4-E4)/E4,"")</f>
        <v/>
      </c>
      <c r="K4" s="11" t="str">
        <f aca="false">IF(J4="","",IF(J4&gt;=0.15,"Có","Không"))</f>
        <v/>
      </c>
      <c r="L4" s="11" t="str">
        <f aca="false">IF(D4="","",IF(D4&lt;G4,"Có","Không"))</f>
        <v/>
      </c>
      <c r="M4" s="11" t="str">
        <f aca="false">IF(D4="","",IF(D4&lt;I4,"Có","Không"))</f>
        <v/>
      </c>
      <c r="N4" s="9"/>
      <c r="O4" s="9"/>
      <c r="P4" s="11" t="str">
        <f aca="false">IF(N4="","",IF(N4&lt;O4,"Có","Không"))</f>
        <v/>
      </c>
      <c r="Q4" s="9"/>
      <c r="R4" s="9"/>
      <c r="S4" s="11" t="str">
        <f aca="false">IF(Q4="","",IF(OR(Q4&lt;0,Q4&lt;R4),"Có","Không"))</f>
        <v/>
      </c>
      <c r="T4" s="12" t="str">
        <f aca="false">IF(OR(L4="",P4="",S4=""),"",IF(AND(L4="Có",P4="Có",S4="Có"),"THOÁT TOÀN BỘ",IF(K4="Có","CHỐT 1 PHẦN","GIỮ")))</f>
        <v/>
      </c>
      <c r="U4" s="7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13" t="str">
        <f aca="false">IFERROR((D5-E5)/E5,"")</f>
        <v/>
      </c>
      <c r="K5" s="11" t="str">
        <f aca="false">IF(J5="","",IF(J5&gt;=0.15,"Có","Không"))</f>
        <v/>
      </c>
      <c r="L5" s="11" t="str">
        <f aca="false">IF(D5="","",IF(D5&lt;G5,"Có","Không"))</f>
        <v/>
      </c>
      <c r="M5" s="11" t="str">
        <f aca="false">IF(D5="","",IF(D5&lt;I5,"Có","Không"))</f>
        <v/>
      </c>
      <c r="N5" s="9"/>
      <c r="O5" s="9"/>
      <c r="P5" s="11" t="str">
        <f aca="false">IF(N5="","",IF(N5&lt;O5,"Có","Không"))</f>
        <v/>
      </c>
      <c r="Q5" s="9"/>
      <c r="R5" s="9"/>
      <c r="S5" s="11" t="str">
        <f aca="false">IF(Q5="","",IF(OR(Q5&lt;0,Q5&lt;R5),"Có","Không"))</f>
        <v/>
      </c>
      <c r="T5" s="12" t="str">
        <f aca="false">IF(OR(L5="",P5="",S5=""),"",IF(AND(L5="Có",P5="Có",S5="Có"),"THOÁT TOÀN BỘ",IF(K5="Có","CHỐT 1 PHẦN","GIỮ")))</f>
        <v/>
      </c>
      <c r="U5" s="7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13" t="str">
        <f aca="false">IFERROR((D6-E6)/E6,"")</f>
        <v/>
      </c>
      <c r="K6" s="11" t="str">
        <f aca="false">IF(J6="","",IF(J6&gt;=0.15,"Có","Không"))</f>
        <v/>
      </c>
      <c r="L6" s="11" t="str">
        <f aca="false">IF(D6="","",IF(D6&lt;G6,"Có","Không"))</f>
        <v/>
      </c>
      <c r="M6" s="11" t="str">
        <f aca="false">IF(D6="","",IF(D6&lt;I6,"Có","Không"))</f>
        <v/>
      </c>
      <c r="N6" s="9"/>
      <c r="O6" s="9"/>
      <c r="P6" s="11" t="str">
        <f aca="false">IF(N6="","",IF(N6&lt;O6,"Có","Không"))</f>
        <v/>
      </c>
      <c r="Q6" s="9"/>
      <c r="R6" s="9"/>
      <c r="S6" s="11" t="str">
        <f aca="false">IF(Q6="","",IF(OR(Q6&lt;0,Q6&lt;R6),"Có","Không"))</f>
        <v/>
      </c>
      <c r="T6" s="12" t="str">
        <f aca="false">IF(OR(L6="",P6="",S6=""),"",IF(AND(L6="Có",P6="Có",S6="Có"),"THOÁT TOÀN BỘ",IF(K6="Có","CHỐT 1 PHẦN","GIỮ")))</f>
        <v/>
      </c>
      <c r="U6" s="7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13" t="str">
        <f aca="false">IFERROR((D7-E7)/E7,"")</f>
        <v/>
      </c>
      <c r="K7" s="11" t="str">
        <f aca="false">IF(J7="","",IF(J7&gt;=0.15,"Có","Không"))</f>
        <v/>
      </c>
      <c r="L7" s="11" t="str">
        <f aca="false">IF(D7="","",IF(D7&lt;G7,"Có","Không"))</f>
        <v/>
      </c>
      <c r="M7" s="11" t="str">
        <f aca="false">IF(D7="","",IF(D7&lt;I7,"Có","Không"))</f>
        <v/>
      </c>
      <c r="N7" s="9"/>
      <c r="O7" s="9"/>
      <c r="P7" s="11" t="str">
        <f aca="false">IF(N7="","",IF(N7&lt;O7,"Có","Không"))</f>
        <v/>
      </c>
      <c r="Q7" s="9"/>
      <c r="R7" s="9"/>
      <c r="S7" s="11" t="str">
        <f aca="false">IF(Q7="","",IF(OR(Q7&lt;0,Q7&lt;R7),"Có","Không"))</f>
        <v/>
      </c>
      <c r="T7" s="12" t="str">
        <f aca="false">IF(OR(L7="",P7="",S7=""),"",IF(AND(L7="Có",P7="Có",S7="Có"),"THOÁT TOÀN BỘ",IF(K7="Có","CHỐT 1 PHẦN","GIỮ")))</f>
        <v/>
      </c>
      <c r="U7" s="7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13" t="str">
        <f aca="false">IFERROR((D8-E8)/E8,"")</f>
        <v/>
      </c>
      <c r="K8" s="11" t="str">
        <f aca="false">IF(J8="","",IF(J8&gt;=0.15,"Có","Không"))</f>
        <v/>
      </c>
      <c r="L8" s="11" t="str">
        <f aca="false">IF(D8="","",IF(D8&lt;G8,"Có","Không"))</f>
        <v/>
      </c>
      <c r="M8" s="11" t="str">
        <f aca="false">IF(D8="","",IF(D8&lt;I8,"Có","Không"))</f>
        <v/>
      </c>
      <c r="N8" s="9"/>
      <c r="O8" s="9"/>
      <c r="P8" s="11" t="str">
        <f aca="false">IF(N8="","",IF(N8&lt;O8,"Có","Không"))</f>
        <v/>
      </c>
      <c r="Q8" s="9"/>
      <c r="R8" s="9"/>
      <c r="S8" s="11" t="str">
        <f aca="false">IF(Q8="","",IF(OR(Q8&lt;0,Q8&lt;R8),"Có","Không"))</f>
        <v/>
      </c>
      <c r="T8" s="12" t="str">
        <f aca="false">IF(OR(L8="",P8="",S8=""),"",IF(AND(L8="Có",P8="Có",S8="Có"),"THOÁT TOÀN BỘ",IF(K8="Có","CHỐT 1 PHẦN","GIỮ")))</f>
        <v/>
      </c>
      <c r="U8" s="7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13" t="str">
        <f aca="false">IFERROR((D9-E9)/E9,"")</f>
        <v/>
      </c>
      <c r="K9" s="11" t="str">
        <f aca="false">IF(J9="","",IF(J9&gt;=0.15,"Có","Không"))</f>
        <v/>
      </c>
      <c r="L9" s="11" t="str">
        <f aca="false">IF(D9="","",IF(D9&lt;G9,"Có","Không"))</f>
        <v/>
      </c>
      <c r="M9" s="11" t="str">
        <f aca="false">IF(D9="","",IF(D9&lt;I9,"Có","Không"))</f>
        <v/>
      </c>
      <c r="N9" s="9"/>
      <c r="O9" s="9"/>
      <c r="P9" s="11" t="str">
        <f aca="false">IF(N9="","",IF(N9&lt;O9,"Có","Không"))</f>
        <v/>
      </c>
      <c r="Q9" s="9"/>
      <c r="R9" s="9"/>
      <c r="S9" s="11" t="str">
        <f aca="false">IF(Q9="","",IF(OR(Q9&lt;0,Q9&lt;R9),"Có","Không"))</f>
        <v/>
      </c>
      <c r="T9" s="12" t="str">
        <f aca="false">IF(OR(L9="",P9="",S9=""),"",IF(AND(L9="Có",P9="Có",S9="Có"),"THOÁT TOÀN BỘ",IF(K9="Có","CHỐT 1 PHẦN","GIỮ")))</f>
        <v/>
      </c>
      <c r="U9" s="7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13" t="str">
        <f aca="false">IFERROR((D10-E10)/E10,"")</f>
        <v/>
      </c>
      <c r="K10" s="11" t="str">
        <f aca="false">IF(J10="","",IF(J10&gt;=0.15,"Có","Không"))</f>
        <v/>
      </c>
      <c r="L10" s="11" t="str">
        <f aca="false">IF(D10="","",IF(D10&lt;G10,"Có","Không"))</f>
        <v/>
      </c>
      <c r="M10" s="11" t="str">
        <f aca="false">IF(D10="","",IF(D10&lt;I10,"Có","Không"))</f>
        <v/>
      </c>
      <c r="N10" s="9"/>
      <c r="O10" s="9"/>
      <c r="P10" s="11" t="str">
        <f aca="false">IF(N10="","",IF(N10&lt;O10,"Có","Không"))</f>
        <v/>
      </c>
      <c r="Q10" s="9"/>
      <c r="R10" s="9"/>
      <c r="S10" s="11" t="str">
        <f aca="false">IF(Q10="","",IF(OR(Q10&lt;0,Q10&lt;R10),"Có","Không"))</f>
        <v/>
      </c>
      <c r="T10" s="12" t="str">
        <f aca="false">IF(OR(L10="",P10="",S10=""),"",IF(AND(L10="Có",P10="Có",S10="Có"),"THOÁT TOÀN BỘ",IF(K10="Có","CHỐT 1 PHẦN","GIỮ")))</f>
        <v/>
      </c>
      <c r="U10" s="7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13" t="str">
        <f aca="false">IFERROR((D11-E11)/E11,"")</f>
        <v/>
      </c>
      <c r="K11" s="11" t="str">
        <f aca="false">IF(J11="","",IF(J11&gt;=0.15,"Có","Không"))</f>
        <v/>
      </c>
      <c r="L11" s="11" t="str">
        <f aca="false">IF(D11="","",IF(D11&lt;G11,"Có","Không"))</f>
        <v/>
      </c>
      <c r="M11" s="11" t="str">
        <f aca="false">IF(D11="","",IF(D11&lt;I11,"Có","Không"))</f>
        <v/>
      </c>
      <c r="N11" s="9"/>
      <c r="O11" s="9"/>
      <c r="P11" s="11" t="str">
        <f aca="false">IF(N11="","",IF(N11&lt;O11,"Có","Không"))</f>
        <v/>
      </c>
      <c r="Q11" s="9"/>
      <c r="R11" s="9"/>
      <c r="S11" s="11" t="str">
        <f aca="false">IF(Q11="","",IF(OR(Q11&lt;0,Q11&lt;R11),"Có","Không"))</f>
        <v/>
      </c>
      <c r="T11" s="12" t="str">
        <f aca="false">IF(OR(L11="",P11="",S11=""),"",IF(AND(L11="Có",P11="Có",S11="Có"),"THOÁT TOÀN BỘ",IF(K11="Có","CHỐT 1 PHẦN","GIỮ")))</f>
        <v/>
      </c>
      <c r="U11" s="7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13" t="str">
        <f aca="false">IFERROR((D12-E12)/E12,"")</f>
        <v/>
      </c>
      <c r="K12" s="11" t="str">
        <f aca="false">IF(J12="","",IF(J12&gt;=0.15,"Có","Không"))</f>
        <v/>
      </c>
      <c r="L12" s="11" t="str">
        <f aca="false">IF(D12="","",IF(D12&lt;G12,"Có","Không"))</f>
        <v/>
      </c>
      <c r="M12" s="11" t="str">
        <f aca="false">IF(D12="","",IF(D12&lt;I12,"Có","Không"))</f>
        <v/>
      </c>
      <c r="N12" s="9"/>
      <c r="O12" s="9"/>
      <c r="P12" s="11" t="str">
        <f aca="false">IF(N12="","",IF(N12&lt;O12,"Có","Không"))</f>
        <v/>
      </c>
      <c r="Q12" s="9"/>
      <c r="R12" s="9"/>
      <c r="S12" s="11" t="str">
        <f aca="false">IF(Q12="","",IF(OR(Q12&lt;0,Q12&lt;R12),"Có","Không"))</f>
        <v/>
      </c>
      <c r="T12" s="12" t="str">
        <f aca="false">IF(OR(L12="",P12="",S12=""),"",IF(AND(L12="Có",P12="Có",S12="Có"),"THOÁT TOÀN BỘ",IF(K12="Có","CHỐT 1 PHẦN","GIỮ")))</f>
        <v/>
      </c>
      <c r="U12" s="7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13" t="str">
        <f aca="false">IFERROR((D13-E13)/E13,"")</f>
        <v/>
      </c>
      <c r="K13" s="11" t="str">
        <f aca="false">IF(J13="","",IF(J13&gt;=0.15,"Có","Không"))</f>
        <v/>
      </c>
      <c r="L13" s="11" t="str">
        <f aca="false">IF(D13="","",IF(D13&lt;G13,"Có","Không"))</f>
        <v/>
      </c>
      <c r="M13" s="11" t="str">
        <f aca="false">IF(D13="","",IF(D13&lt;I13,"Có","Không"))</f>
        <v/>
      </c>
      <c r="N13" s="9"/>
      <c r="O13" s="9"/>
      <c r="P13" s="11" t="str">
        <f aca="false">IF(N13="","",IF(N13&lt;O13,"Có","Không"))</f>
        <v/>
      </c>
      <c r="Q13" s="9"/>
      <c r="R13" s="9"/>
      <c r="S13" s="11" t="str">
        <f aca="false">IF(Q13="","",IF(OR(Q13&lt;0,Q13&lt;R13),"Có","Không"))</f>
        <v/>
      </c>
      <c r="T13" s="12" t="str">
        <f aca="false">IF(OR(L13="",P13="",S13=""),"",IF(AND(L13="Có",P13="Có",S13="Có"),"THOÁT TOÀN BỘ",IF(K13="Có","CHỐT 1 PHẦN","GIỮ")))</f>
        <v/>
      </c>
      <c r="U13" s="7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13" t="str">
        <f aca="false">IFERROR((D14-E14)/E14,"")</f>
        <v/>
      </c>
      <c r="K14" s="11" t="str">
        <f aca="false">IF(J14="","",IF(J14&gt;=0.15,"Có","Không"))</f>
        <v/>
      </c>
      <c r="L14" s="11" t="str">
        <f aca="false">IF(D14="","",IF(D14&lt;G14,"Có","Không"))</f>
        <v/>
      </c>
      <c r="M14" s="11" t="str">
        <f aca="false">IF(D14="","",IF(D14&lt;I14,"Có","Không"))</f>
        <v/>
      </c>
      <c r="N14" s="9"/>
      <c r="O14" s="9"/>
      <c r="P14" s="11" t="str">
        <f aca="false">IF(N14="","",IF(N14&lt;O14,"Có","Không"))</f>
        <v/>
      </c>
      <c r="Q14" s="9"/>
      <c r="R14" s="9"/>
      <c r="S14" s="11" t="str">
        <f aca="false">IF(Q14="","",IF(OR(Q14&lt;0,Q14&lt;R14),"Có","Không"))</f>
        <v/>
      </c>
      <c r="T14" s="12" t="str">
        <f aca="false">IF(OR(L14="",P14="",S14=""),"",IF(AND(L14="Có",P14="Có",S14="Có"),"THOÁT TOÀN BỘ",IF(K14="Có","CHỐT 1 PHẦN","GIỮ")))</f>
        <v/>
      </c>
      <c r="U14" s="7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13" t="str">
        <f aca="false">IFERROR((D15-E15)/E15,"")</f>
        <v/>
      </c>
      <c r="K15" s="11" t="str">
        <f aca="false">IF(J15="","",IF(J15&gt;=0.15,"Có","Không"))</f>
        <v/>
      </c>
      <c r="L15" s="11" t="str">
        <f aca="false">IF(D15="","",IF(D15&lt;G15,"Có","Không"))</f>
        <v/>
      </c>
      <c r="M15" s="11" t="str">
        <f aca="false">IF(D15="","",IF(D15&lt;I15,"Có","Không"))</f>
        <v/>
      </c>
      <c r="N15" s="9"/>
      <c r="O15" s="9"/>
      <c r="P15" s="11" t="str">
        <f aca="false">IF(N15="","",IF(N15&lt;O15,"Có","Không"))</f>
        <v/>
      </c>
      <c r="Q15" s="9"/>
      <c r="R15" s="9"/>
      <c r="S15" s="11" t="str">
        <f aca="false">IF(Q15="","",IF(OR(Q15&lt;0,Q15&lt;R15),"Có","Không"))</f>
        <v/>
      </c>
      <c r="T15" s="12" t="str">
        <f aca="false">IF(OR(L15="",P15="",S15=""),"",IF(AND(L15="Có",P15="Có",S15="Có"),"THOÁT TOÀN BỘ",IF(K15="Có","CHỐT 1 PHẦN","GIỮ")))</f>
        <v/>
      </c>
      <c r="U15" s="7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13" t="str">
        <f aca="false">IFERROR((D16-E16)/E16,"")</f>
        <v/>
      </c>
      <c r="K16" s="11" t="str">
        <f aca="false">IF(J16="","",IF(J16&gt;=0.15,"Có","Không"))</f>
        <v/>
      </c>
      <c r="L16" s="11" t="str">
        <f aca="false">IF(D16="","",IF(D16&lt;G16,"Có","Không"))</f>
        <v/>
      </c>
      <c r="M16" s="11" t="str">
        <f aca="false">IF(D16="","",IF(D16&lt;I16,"Có","Không"))</f>
        <v/>
      </c>
      <c r="N16" s="9"/>
      <c r="O16" s="9"/>
      <c r="P16" s="11" t="str">
        <f aca="false">IF(N16="","",IF(N16&lt;O16,"Có","Không"))</f>
        <v/>
      </c>
      <c r="Q16" s="9"/>
      <c r="R16" s="9"/>
      <c r="S16" s="11" t="str">
        <f aca="false">IF(Q16="","",IF(OR(Q16&lt;0,Q16&lt;R16),"Có","Không"))</f>
        <v/>
      </c>
      <c r="T16" s="12" t="str">
        <f aca="false">IF(OR(L16="",P16="",S16=""),"",IF(AND(L16="Có",P16="Có",S16="Có"),"THOÁT TOÀN BỘ",IF(K16="Có","CHỐT 1 PHẦN","GIỮ")))</f>
        <v/>
      </c>
      <c r="U16" s="7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13" t="str">
        <f aca="false">IFERROR((D17-E17)/E17,"")</f>
        <v/>
      </c>
      <c r="K17" s="11" t="str">
        <f aca="false">IF(J17="","",IF(J17&gt;=0.15,"Có","Không"))</f>
        <v/>
      </c>
      <c r="L17" s="11" t="str">
        <f aca="false">IF(D17="","",IF(D17&lt;G17,"Có","Không"))</f>
        <v/>
      </c>
      <c r="M17" s="11" t="str">
        <f aca="false">IF(D17="","",IF(D17&lt;I17,"Có","Không"))</f>
        <v/>
      </c>
      <c r="N17" s="9"/>
      <c r="O17" s="9"/>
      <c r="P17" s="11" t="str">
        <f aca="false">IF(N17="","",IF(N17&lt;O17,"Có","Không"))</f>
        <v/>
      </c>
      <c r="Q17" s="9"/>
      <c r="R17" s="9"/>
      <c r="S17" s="11" t="str">
        <f aca="false">IF(Q17="","",IF(OR(Q17&lt;0,Q17&lt;R17),"Có","Không"))</f>
        <v/>
      </c>
      <c r="T17" s="12" t="str">
        <f aca="false">IF(OR(L17="",P17="",S17=""),"",IF(AND(L17="Có",P17="Có",S17="Có"),"THOÁT TOÀN BỘ",IF(K17="Có","CHỐT 1 PHẦN","GIỮ")))</f>
        <v/>
      </c>
      <c r="U17" s="7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13" t="str">
        <f aca="false">IFERROR((D18-E18)/E18,"")</f>
        <v/>
      </c>
      <c r="K18" s="11" t="str">
        <f aca="false">IF(J18="","",IF(J18&gt;=0.15,"Có","Không"))</f>
        <v/>
      </c>
      <c r="L18" s="11" t="str">
        <f aca="false">IF(D18="","",IF(D18&lt;G18,"Có","Không"))</f>
        <v/>
      </c>
      <c r="M18" s="11" t="str">
        <f aca="false">IF(D18="","",IF(D18&lt;I18,"Có","Không"))</f>
        <v/>
      </c>
      <c r="N18" s="9"/>
      <c r="O18" s="9"/>
      <c r="P18" s="11" t="str">
        <f aca="false">IF(N18="","",IF(N18&lt;O18,"Có","Không"))</f>
        <v/>
      </c>
      <c r="Q18" s="9"/>
      <c r="R18" s="9"/>
      <c r="S18" s="11" t="str">
        <f aca="false">IF(Q18="","",IF(OR(Q18&lt;0,Q18&lt;R18),"Có","Không"))</f>
        <v/>
      </c>
      <c r="T18" s="12" t="str">
        <f aca="false">IF(OR(L18="",P18="",S18=""),"",IF(AND(L18="Có",P18="Có",S18="Có"),"THOÁT TOÀN BỘ",IF(K18="Có","CHỐT 1 PHẦN","GIỮ")))</f>
        <v/>
      </c>
      <c r="U18" s="7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13" t="str">
        <f aca="false">IFERROR((D19-E19)/E19,"")</f>
        <v/>
      </c>
      <c r="K19" s="11" t="str">
        <f aca="false">IF(J19="","",IF(J19&gt;=0.15,"Có","Không"))</f>
        <v/>
      </c>
      <c r="L19" s="11" t="str">
        <f aca="false">IF(D19="","",IF(D19&lt;G19,"Có","Không"))</f>
        <v/>
      </c>
      <c r="M19" s="11" t="str">
        <f aca="false">IF(D19="","",IF(D19&lt;I19,"Có","Không"))</f>
        <v/>
      </c>
      <c r="N19" s="9"/>
      <c r="O19" s="9"/>
      <c r="P19" s="11" t="str">
        <f aca="false">IF(N19="","",IF(N19&lt;O19,"Có","Không"))</f>
        <v/>
      </c>
      <c r="Q19" s="9"/>
      <c r="R19" s="9"/>
      <c r="S19" s="11" t="str">
        <f aca="false">IF(Q19="","",IF(OR(Q19&lt;0,Q19&lt;R19),"Có","Không"))</f>
        <v/>
      </c>
      <c r="T19" s="12" t="str">
        <f aca="false">IF(OR(L19="",P19="",S19=""),"",IF(AND(L19="Có",P19="Có",S19="Có"),"THOÁT TOÀN BỘ",IF(K19="Có","CHỐT 1 PHẦN","GIỮ")))</f>
        <v/>
      </c>
      <c r="U19" s="7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13" t="str">
        <f aca="false">IFERROR((D20-E20)/E20,"")</f>
        <v/>
      </c>
      <c r="K20" s="11" t="str">
        <f aca="false">IF(J20="","",IF(J20&gt;=0.15,"Có","Không"))</f>
        <v/>
      </c>
      <c r="L20" s="11" t="str">
        <f aca="false">IF(D20="","",IF(D20&lt;G20,"Có","Không"))</f>
        <v/>
      </c>
      <c r="M20" s="11" t="str">
        <f aca="false">IF(D20="","",IF(D20&lt;I20,"Có","Không"))</f>
        <v/>
      </c>
      <c r="N20" s="9"/>
      <c r="O20" s="9"/>
      <c r="P20" s="11" t="str">
        <f aca="false">IF(N20="","",IF(N20&lt;O20,"Có","Không"))</f>
        <v/>
      </c>
      <c r="Q20" s="9"/>
      <c r="R20" s="9"/>
      <c r="S20" s="11" t="str">
        <f aca="false">IF(Q20="","",IF(OR(Q20&lt;0,Q20&lt;R20),"Có","Không"))</f>
        <v/>
      </c>
      <c r="T20" s="12" t="str">
        <f aca="false">IF(OR(L20="",P20="",S20=""),"",IF(AND(L20="Có",P20="Có",S20="Có"),"THOÁT TOÀN BỘ",IF(K20="Có","CHỐT 1 PHẦN","GIỮ")))</f>
        <v/>
      </c>
      <c r="U20" s="7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13" t="str">
        <f aca="false">IFERROR((D21-E21)/E21,"")</f>
        <v/>
      </c>
      <c r="K21" s="11" t="str">
        <f aca="false">IF(J21="","",IF(J21&gt;=0.15,"Có","Không"))</f>
        <v/>
      </c>
      <c r="L21" s="11" t="str">
        <f aca="false">IF(D21="","",IF(D21&lt;G21,"Có","Không"))</f>
        <v/>
      </c>
      <c r="M21" s="11" t="str">
        <f aca="false">IF(D21="","",IF(D21&lt;I21,"Có","Không"))</f>
        <v/>
      </c>
      <c r="N21" s="9"/>
      <c r="O21" s="9"/>
      <c r="P21" s="11" t="str">
        <f aca="false">IF(N21="","",IF(N21&lt;O21,"Có","Không"))</f>
        <v/>
      </c>
      <c r="Q21" s="9"/>
      <c r="R21" s="9"/>
      <c r="S21" s="11" t="str">
        <f aca="false">IF(Q21="","",IF(OR(Q21&lt;0,Q21&lt;R21),"Có","Không"))</f>
        <v/>
      </c>
      <c r="T21" s="12" t="str">
        <f aca="false">IF(OR(L21="",P21="",S21=""),"",IF(AND(L21="Có",P21="Có",S21="Có"),"THOÁT TOÀN BỘ",IF(K21="Có","CHỐT 1 PHẦN","GIỮ")))</f>
        <v/>
      </c>
      <c r="U21" s="7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13" t="str">
        <f aca="false">IFERROR((D22-E22)/E22,"")</f>
        <v/>
      </c>
      <c r="K22" s="11" t="str">
        <f aca="false">IF(J22="","",IF(J22&gt;=0.15,"Có","Không"))</f>
        <v/>
      </c>
      <c r="L22" s="11" t="str">
        <f aca="false">IF(D22="","",IF(D22&lt;G22,"Có","Không"))</f>
        <v/>
      </c>
      <c r="M22" s="11" t="str">
        <f aca="false">IF(D22="","",IF(D22&lt;I22,"Có","Không"))</f>
        <v/>
      </c>
      <c r="N22" s="9"/>
      <c r="O22" s="9"/>
      <c r="P22" s="11" t="str">
        <f aca="false">IF(N22="","",IF(N22&lt;O22,"Có","Không"))</f>
        <v/>
      </c>
      <c r="Q22" s="9"/>
      <c r="R22" s="9"/>
      <c r="S22" s="11" t="str">
        <f aca="false">IF(Q22="","",IF(OR(Q22&lt;0,Q22&lt;R22),"Có","Không"))</f>
        <v/>
      </c>
      <c r="T22" s="12" t="str">
        <f aca="false">IF(OR(L22="",P22="",S22=""),"",IF(AND(L22="Có",P22="Có",S22="Có"),"THOÁT TOÀN BỘ",IF(K22="Có","CHỐT 1 PHẦN","GIỮ")))</f>
        <v/>
      </c>
      <c r="U22" s="7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13" t="str">
        <f aca="false">IFERROR((D23-E23)/E23,"")</f>
        <v/>
      </c>
      <c r="K23" s="11" t="str">
        <f aca="false">IF(J23="","",IF(J23&gt;=0.15,"Có","Không"))</f>
        <v/>
      </c>
      <c r="L23" s="11" t="str">
        <f aca="false">IF(D23="","",IF(D23&lt;G23,"Có","Không"))</f>
        <v/>
      </c>
      <c r="M23" s="11" t="str">
        <f aca="false">IF(D23="","",IF(D23&lt;I23,"Có","Không"))</f>
        <v/>
      </c>
      <c r="N23" s="9"/>
      <c r="O23" s="9"/>
      <c r="P23" s="11" t="str">
        <f aca="false">IF(N23="","",IF(N23&lt;O23,"Có","Không"))</f>
        <v/>
      </c>
      <c r="Q23" s="9"/>
      <c r="R23" s="9"/>
      <c r="S23" s="11" t="str">
        <f aca="false">IF(Q23="","",IF(OR(Q23&lt;0,Q23&lt;R23),"Có","Không"))</f>
        <v/>
      </c>
      <c r="T23" s="12" t="str">
        <f aca="false">IF(OR(L23="",P23="",S23=""),"",IF(AND(L23="Có",P23="Có",S23="Có"),"THOÁT TOÀN BỘ",IF(K23="Có","CHỐT 1 PHẦN","GIỮ")))</f>
        <v/>
      </c>
      <c r="U23" s="7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13" t="str">
        <f aca="false">IFERROR((D24-E24)/E24,"")</f>
        <v/>
      </c>
      <c r="K24" s="11" t="str">
        <f aca="false">IF(J24="","",IF(J24&gt;=0.15,"Có","Không"))</f>
        <v/>
      </c>
      <c r="L24" s="11" t="str">
        <f aca="false">IF(D24="","",IF(D24&lt;G24,"Có","Không"))</f>
        <v/>
      </c>
      <c r="M24" s="11" t="str">
        <f aca="false">IF(D24="","",IF(D24&lt;I24,"Có","Không"))</f>
        <v/>
      </c>
      <c r="N24" s="9"/>
      <c r="O24" s="9"/>
      <c r="P24" s="11" t="str">
        <f aca="false">IF(N24="","",IF(N24&lt;O24,"Có","Không"))</f>
        <v/>
      </c>
      <c r="Q24" s="9"/>
      <c r="R24" s="9"/>
      <c r="S24" s="11" t="str">
        <f aca="false">IF(Q24="","",IF(OR(Q24&lt;0,Q24&lt;R24),"Có","Không"))</f>
        <v/>
      </c>
      <c r="T24" s="12" t="str">
        <f aca="false">IF(OR(L24="",P24="",S24=""),"",IF(AND(L24="Có",P24="Có",S24="Có"),"THOÁT TOÀN BỘ",IF(K24="Có","CHỐT 1 PHẦN","GIỮ")))</f>
        <v/>
      </c>
      <c r="U24" s="7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13" t="str">
        <f aca="false">IFERROR((D25-E25)/E25,"")</f>
        <v/>
      </c>
      <c r="K25" s="11" t="str">
        <f aca="false">IF(J25="","",IF(J25&gt;=0.15,"Có","Không"))</f>
        <v/>
      </c>
      <c r="L25" s="11" t="str">
        <f aca="false">IF(D25="","",IF(D25&lt;G25,"Có","Không"))</f>
        <v/>
      </c>
      <c r="M25" s="11" t="str">
        <f aca="false">IF(D25="","",IF(D25&lt;I25,"Có","Không"))</f>
        <v/>
      </c>
      <c r="N25" s="9"/>
      <c r="O25" s="9"/>
      <c r="P25" s="11" t="str">
        <f aca="false">IF(N25="","",IF(N25&lt;O25,"Có","Không"))</f>
        <v/>
      </c>
      <c r="Q25" s="9"/>
      <c r="R25" s="9"/>
      <c r="S25" s="11" t="str">
        <f aca="false">IF(Q25="","",IF(OR(Q25&lt;0,Q25&lt;R25),"Có","Không"))</f>
        <v/>
      </c>
      <c r="T25" s="12" t="str">
        <f aca="false">IF(OR(L25="",P25="",S25=""),"",IF(AND(L25="Có",P25="Có",S25="Có"),"THOÁT TOÀN BỘ",IF(K25="Có","CHỐT 1 PHẦN","GIỮ")))</f>
        <v/>
      </c>
      <c r="U25" s="7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13" t="str">
        <f aca="false">IFERROR((D26-E26)/E26,"")</f>
        <v/>
      </c>
      <c r="K26" s="11" t="str">
        <f aca="false">IF(J26="","",IF(J26&gt;=0.15,"Có","Không"))</f>
        <v/>
      </c>
      <c r="L26" s="11" t="str">
        <f aca="false">IF(D26="","",IF(D26&lt;G26,"Có","Không"))</f>
        <v/>
      </c>
      <c r="M26" s="11" t="str">
        <f aca="false">IF(D26="","",IF(D26&lt;I26,"Có","Không"))</f>
        <v/>
      </c>
      <c r="N26" s="9"/>
      <c r="O26" s="9"/>
      <c r="P26" s="11" t="str">
        <f aca="false">IF(N26="","",IF(N26&lt;O26,"Có","Không"))</f>
        <v/>
      </c>
      <c r="Q26" s="9"/>
      <c r="R26" s="9"/>
      <c r="S26" s="11" t="str">
        <f aca="false">IF(Q26="","",IF(OR(Q26&lt;0,Q26&lt;R26),"Có","Không"))</f>
        <v/>
      </c>
      <c r="T26" s="12" t="str">
        <f aca="false">IF(OR(L26="",P26="",S26=""),"",IF(AND(L26="Có",P26="Có",S26="Có"),"THOÁT TOÀN BỘ",IF(K26="Có","CHỐT 1 PHẦN","GIỮ")))</f>
        <v/>
      </c>
      <c r="U26" s="7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13" t="str">
        <f aca="false">IFERROR((D27-E27)/E27,"")</f>
        <v/>
      </c>
      <c r="K27" s="11" t="str">
        <f aca="false">IF(J27="","",IF(J27&gt;=0.15,"Có","Không"))</f>
        <v/>
      </c>
      <c r="L27" s="11" t="str">
        <f aca="false">IF(D27="","",IF(D27&lt;G27,"Có","Không"))</f>
        <v/>
      </c>
      <c r="M27" s="11" t="str">
        <f aca="false">IF(D27="","",IF(D27&lt;I27,"Có","Không"))</f>
        <v/>
      </c>
      <c r="N27" s="9"/>
      <c r="O27" s="9"/>
      <c r="P27" s="11" t="str">
        <f aca="false">IF(N27="","",IF(N27&lt;O27,"Có","Không"))</f>
        <v/>
      </c>
      <c r="Q27" s="9"/>
      <c r="R27" s="9"/>
      <c r="S27" s="11" t="str">
        <f aca="false">IF(Q27="","",IF(OR(Q27&lt;0,Q27&lt;R27),"Có","Không"))</f>
        <v/>
      </c>
      <c r="T27" s="12" t="str">
        <f aca="false">IF(OR(L27="",P27="",S27=""),"",IF(AND(L27="Có",P27="Có",S27="Có"),"THOÁT TOÀN BỘ",IF(K27="Có","CHỐT 1 PHẦN","GIỮ")))</f>
        <v/>
      </c>
      <c r="U27" s="7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13" t="str">
        <f aca="false">IFERROR((D28-E28)/E28,"")</f>
        <v/>
      </c>
      <c r="K28" s="11" t="str">
        <f aca="false">IF(J28="","",IF(J28&gt;=0.15,"Có","Không"))</f>
        <v/>
      </c>
      <c r="L28" s="11" t="str">
        <f aca="false">IF(D28="","",IF(D28&lt;G28,"Có","Không"))</f>
        <v/>
      </c>
      <c r="M28" s="11" t="str">
        <f aca="false">IF(D28="","",IF(D28&lt;I28,"Có","Không"))</f>
        <v/>
      </c>
      <c r="N28" s="9"/>
      <c r="O28" s="9"/>
      <c r="P28" s="11" t="str">
        <f aca="false">IF(N28="","",IF(N28&lt;O28,"Có","Không"))</f>
        <v/>
      </c>
      <c r="Q28" s="9"/>
      <c r="R28" s="9"/>
      <c r="S28" s="11" t="str">
        <f aca="false">IF(Q28="","",IF(OR(Q28&lt;0,Q28&lt;R28),"Có","Không"))</f>
        <v/>
      </c>
      <c r="T28" s="12" t="str">
        <f aca="false">IF(OR(L28="",P28="",S28=""),"",IF(AND(L28="Có",P28="Có",S28="Có"),"THOÁT TOÀN BỘ",IF(K28="Có","CHỐT 1 PHẦN","GIỮ")))</f>
        <v/>
      </c>
      <c r="U28" s="7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13" t="str">
        <f aca="false">IFERROR((D29-E29)/E29,"")</f>
        <v/>
      </c>
      <c r="K29" s="11" t="str">
        <f aca="false">IF(J29="","",IF(J29&gt;=0.15,"Có","Không"))</f>
        <v/>
      </c>
      <c r="L29" s="11" t="str">
        <f aca="false">IF(D29="","",IF(D29&lt;G29,"Có","Không"))</f>
        <v/>
      </c>
      <c r="M29" s="11" t="str">
        <f aca="false">IF(D29="","",IF(D29&lt;I29,"Có","Không"))</f>
        <v/>
      </c>
      <c r="N29" s="9"/>
      <c r="O29" s="9"/>
      <c r="P29" s="11" t="str">
        <f aca="false">IF(N29="","",IF(N29&lt;O29,"Có","Không"))</f>
        <v/>
      </c>
      <c r="Q29" s="9"/>
      <c r="R29" s="9"/>
      <c r="S29" s="11" t="str">
        <f aca="false">IF(Q29="","",IF(OR(Q29&lt;0,Q29&lt;R29),"Có","Không"))</f>
        <v/>
      </c>
      <c r="T29" s="12" t="str">
        <f aca="false">IF(OR(L29="",P29="",S29=""),"",IF(AND(L29="Có",P29="Có",S29="Có"),"THOÁT TOÀN BỘ",IF(K29="Có","CHỐT 1 PHẦN","GIỮ")))</f>
        <v/>
      </c>
      <c r="U29" s="7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13" t="str">
        <f aca="false">IFERROR((D30-E30)/E30,"")</f>
        <v/>
      </c>
      <c r="K30" s="11" t="str">
        <f aca="false">IF(J30="","",IF(J30&gt;=0.15,"Có","Không"))</f>
        <v/>
      </c>
      <c r="L30" s="11" t="str">
        <f aca="false">IF(D30="","",IF(D30&lt;G30,"Có","Không"))</f>
        <v/>
      </c>
      <c r="M30" s="11" t="str">
        <f aca="false">IF(D30="","",IF(D30&lt;I30,"Có","Không"))</f>
        <v/>
      </c>
      <c r="N30" s="9"/>
      <c r="O30" s="9"/>
      <c r="P30" s="11" t="str">
        <f aca="false">IF(N30="","",IF(N30&lt;O30,"Có","Không"))</f>
        <v/>
      </c>
      <c r="Q30" s="9"/>
      <c r="R30" s="9"/>
      <c r="S30" s="11" t="str">
        <f aca="false">IF(Q30="","",IF(OR(Q30&lt;0,Q30&lt;R30),"Có","Không"))</f>
        <v/>
      </c>
      <c r="T30" s="12" t="str">
        <f aca="false">IF(OR(L30="",P30="",S30=""),"",IF(AND(L30="Có",P30="Có",S30="Có"),"THOÁT TOÀN BỘ",IF(K30="Có","CHỐT 1 PHẦN","GIỮ")))</f>
        <v/>
      </c>
      <c r="U30" s="7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13" t="str">
        <f aca="false">IFERROR((D31-E31)/E31,"")</f>
        <v/>
      </c>
      <c r="K31" s="11" t="str">
        <f aca="false">IF(J31="","",IF(J31&gt;=0.15,"Có","Không"))</f>
        <v/>
      </c>
      <c r="L31" s="11" t="str">
        <f aca="false">IF(D31="","",IF(D31&lt;G31,"Có","Không"))</f>
        <v/>
      </c>
      <c r="M31" s="11" t="str">
        <f aca="false">IF(D31="","",IF(D31&lt;I31,"Có","Không"))</f>
        <v/>
      </c>
      <c r="N31" s="9"/>
      <c r="O31" s="9"/>
      <c r="P31" s="11" t="str">
        <f aca="false">IF(N31="","",IF(N31&lt;O31,"Có","Không"))</f>
        <v/>
      </c>
      <c r="Q31" s="9"/>
      <c r="R31" s="9"/>
      <c r="S31" s="11" t="str">
        <f aca="false">IF(Q31="","",IF(OR(Q31&lt;0,Q31&lt;R31),"Có","Không"))</f>
        <v/>
      </c>
      <c r="T31" s="12" t="str">
        <f aca="false">IF(OR(L31="",P31="",S31=""),"",IF(AND(L31="Có",P31="Có",S31="Có"),"THOÁT TOÀN BỘ",IF(K31="Có","CHỐT 1 PHẦN","GIỮ")))</f>
        <v/>
      </c>
      <c r="U31" s="7"/>
    </row>
  </sheetData>
  <conditionalFormatting sqref="T2:T31">
    <cfRule type="expression" priority="2" aboveAverage="0" equalAverage="0" bottom="0" percent="0" rank="0" text="" dxfId="2">
      <formula>T2="THOÁT TOÀN BỘ"</formula>
    </cfRule>
    <cfRule type="expression" priority="3" aboveAverage="0" equalAverage="0" bottom="0" percent="0" rank="0" text="" dxfId="1">
      <formula>T2="CHỐT 1 PHẦN"</formula>
    </cfRule>
    <cfRule type="expression" priority="4" aboveAverage="0" equalAverage="0" bottom="0" percent="0" rank="0" text="" dxfId="3">
      <formula>T2="GIỮ"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2026-07-12T09:32:25Z</dcterms:created>
  <dc:creator>openpyxl</dc:creator>
  <dc:description/>
  <dc:language>en-US</dc:language>
  <cp:lastModifiedBy/>
  <dcterms:modified xsi:type="dcterms:W3CDTF">2026-07-12T09:32:25Z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